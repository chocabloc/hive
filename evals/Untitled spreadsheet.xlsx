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<sst xmlns="http://schemas.openxmlformats.org/spreadsheetml/2006/main" count="38" uniqueCount="35">
  <si>
    <t>Model</t>
  </si>
  <si>
    <t>Accuracy</t>
  </si>
  <si>
    <t>completeness</t>
  </si>
  <si>
    <t>Format</t>
  </si>
  <si>
    <t>Overall</t>
  </si>
  <si>
    <t>Justification</t>
  </si>
  <si>
    <t>Precision</t>
  </si>
  <si>
    <t>Recall</t>
  </si>
  <si>
    <t>F1</t>
  </si>
  <si>
    <t>EventFIllRate</t>
  </si>
  <si>
    <t>PeopleFillRate</t>
  </si>
  <si>
    <t>DateFillRate</t>
  </si>
  <si>
    <t>LocationFillRate</t>
  </si>
  <si>
    <t>gemma 1b</t>
  </si>
  <si>
    <t>Largely negative: frequent incorrect or fabricated dates, hallucinated people, missing key events/actions, wrong attributions, malformed or redundant output, and inaccurate source sentences. Completeness and accuracy are consistently poor despite occasional proper formatting.</t>
  </si>
  <si>
    <t>gemma 4b</t>
  </si>
  <si>
    <t>Mixed but mostly negative: correct JSON formatting but repeated issues with wrong dates, missing locations, incomplete people lists, poor event/action distinction, inaccurate source sentences, redundancy, and missing major details. Some entries capture core events, but overall accuracy and completeness are weak.</t>
  </si>
  <si>
    <t>gemini 2.5 flash</t>
  </si>
  <si>
    <t>Highly positive overall: extractions are accurate, well-formatted, and usually complete. Minor issues include occasional missing actions, missing locations, or small date-inference mistakes. Most justifications praise correct structure, correct dates, and high fidelity to the transcript.</t>
  </si>
  <si>
    <t>mistral 7b</t>
  </si>
  <si>
    <t>Frequently wrong dates (often replaced with today’s date), missing locations, incorrect or irrelevant source sentences, and missed key events/actions. Some entries extract main structures correctly, but overall accuracy and completeness are weak despite consistently good formatting.</t>
  </si>
  <si>
    <t>mistral 24b</t>
  </si>
  <si>
    <t>Strong formatting and generally accurate, complete extractions. Main recurring flaw is incorrect year inference, with several future dates wrongly assigned to 2025 instead of 2026. Occasional misclassification of events vs. actions and a few incorrect specific dates (e.g., internet installation). Otherwise captures entities and relationships reliably.</t>
  </si>
  <si>
    <t>phi 3 8b</t>
  </si>
  <si>
    <t>Repeated wrong or malformed dates, missed locations, incomplete people lists, and blurred event/action distinctions. Often mislabels actions as events, inserts current dates, fabricates or corrupts date strings, and omits key details like times, titles, or locations. Formatting varies but accuracy/completeness remain low.</t>
  </si>
  <si>
    <t>deepseek r1</t>
  </si>
  <si>
    <t>The justifications emphasize pervasive errors: wrong or malformed dates, missing locations and people, incomplete or omitted events/actions, misattributed responsibilities, and occasional malformed or empty JSON. Overall extraction is consistently inaccurate, incomplete, and unreliable</t>
  </si>
  <si>
    <t>openai oss</t>
  </si>
  <si>
    <t>Well-formatted and generally complete, with many highly accurate entries. The dominant recurring flaw is incorrect year inference, causing future dates to be assigned to 2025 instead of 2026. Some misclassified events/actions and a few missing deadlines or minor participant/location errors appear, but overall extraction quality is strong.</t>
  </si>
  <si>
    <t>hermes 8b</t>
  </si>
  <si>
    <t>Generally accurate and well-formatted but inconsistent. Some entries are excellent, while others contain wrong date inference, missing locations, missing actions, and occasional misquotes. Several key events/actions (e.g., utilities transfer, renovation milestones, charity-run tasks) are omitted. Completeness varies widely across examples despite consistently correct structure.</t>
  </si>
  <si>
    <t>llama 70b</t>
  </si>
  <si>
    <t>Generally accurate, well-formatted, and mostly complete. Main recurring issue is wrong year inference, with several future dates incorrectly set to 2025 instead of 2026. A few entries also mis-handle specific deadlines, time ranges, or structured date formats. Otherwise captures events, actions, and participants reliably.</t>
  </si>
  <si>
    <t>llama 8b</t>
  </si>
  <si>
    <t>Generally well-formatted but often inaccurate. Frequent wrong or hallucinated dates/years, missing locations, misattributed people, and occasional duplicated or redundant events/actions. Several source sentences are incorrect. Completeness is mixed: core events usually captured, but important details and secondary actions are often omitted.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</si>
</sst>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984244791666668"/>
          <c:y val="0.1954177897574124"/>
          <c:w val="0.8892408854166668"/>
          <c:h val="0.6737196765498653"/>
        </c:manualLayout>
      </c:layout>
      <c:barChart>
        <c:barDir val="col"/>
        <c:ser>
          <c:idx val="0"/>
          <c:order val="0"/>
          <c:tx>
            <c:strRef>
              <c:f>Sheet1!$J$1</c:f>
            </c:strRef>
          </c:tx>
          <c:spPr>
            <a:solidFill>
              <a:schemeClr val="accent1"/>
            </a:solidFill>
            <a:ln cmpd="sng">
              <a:solidFill>
                <a:srgbClr val="000000"/>
              </a:solidFill>
            </a:ln>
          </c:spPr>
          <c:cat>
            <c:strRef>
              <c:f>Sheet1!$A$2:$A$12</c:f>
            </c:strRef>
          </c:cat>
          <c:val>
            <c:numRef>
              <c:f>Sheet1!$J$2:$J$12</c:f>
              <c:numCache/>
            </c:numRef>
          </c:val>
        </c:ser>
        <c:ser>
          <c:idx val="1"/>
          <c:order val="1"/>
          <c:tx>
            <c:strRef>
              <c:f>Sheet1!$J$1</c:f>
            </c:strRef>
          </c:tx>
          <c:spPr>
            <a:solidFill>
              <a:schemeClr val="accent2"/>
            </a:solidFill>
            <a:ln cmpd="sng">
              <a:solidFill>
                <a:srgbClr val="000000"/>
              </a:solidFill>
            </a:ln>
          </c:spPr>
          <c:cat>
            <c:strRef>
              <c:f>Sheet1!$A$2:$A$12</c:f>
            </c:strRef>
          </c:cat>
          <c:val>
            <c:numRef>
              <c:f>Sheet1!$J$2:$J$12</c:f>
              <c:numCache/>
            </c:numRef>
          </c:val>
        </c:ser>
        <c:ser>
          <c:idx val="2"/>
          <c:order val="2"/>
          <c:tx>
            <c:strRef>
              <c:f>Sheet1!$K$1</c:f>
            </c:strRef>
          </c:tx>
          <c:spPr>
            <a:solidFill>
              <a:schemeClr val="accent3"/>
            </a:solidFill>
            <a:ln cmpd="sng">
              <a:solidFill>
                <a:srgbClr val="000000"/>
              </a:solidFill>
            </a:ln>
          </c:spPr>
          <c:cat>
            <c:strRef>
              <c:f>Sheet1!$A$2:$A$12</c:f>
            </c:strRef>
          </c:cat>
          <c:val>
            <c:numRef>
              <c:f>Sheet1!$K$2:$K$12</c:f>
              <c:numCache/>
            </c:numRef>
          </c:val>
        </c:ser>
        <c:ser>
          <c:idx val="3"/>
          <c:order val="3"/>
          <c:tx>
            <c:strRef>
              <c:f>Sheet1!$L$1</c:f>
            </c:strRef>
          </c:tx>
          <c:spPr>
            <a:solidFill>
              <a:schemeClr val="accent4"/>
            </a:solidFill>
            <a:ln cmpd="sng">
              <a:solidFill>
                <a:srgbClr val="000000"/>
              </a:solidFill>
            </a:ln>
          </c:spPr>
          <c:cat>
            <c:strRef>
              <c:f>Sheet1!$A$2:$A$12</c:f>
            </c:strRef>
          </c:cat>
          <c:val>
            <c:numRef>
              <c:f>Sheet1!$L$2:$L$12</c:f>
              <c:numCache/>
            </c:numRef>
          </c:val>
        </c:ser>
        <c:ser>
          <c:idx val="4"/>
          <c:order val="4"/>
          <c:tx>
            <c:strRef>
              <c:f>Sheet1!$M$1</c:f>
            </c:strRef>
          </c:tx>
          <c:spPr>
            <a:solidFill>
              <a:schemeClr val="accent5"/>
            </a:solidFill>
            <a:ln cmpd="sng">
              <a:solidFill>
                <a:srgbClr val="000000"/>
              </a:solidFill>
            </a:ln>
          </c:spPr>
          <c:cat>
            <c:strRef>
              <c:f>Sheet1!$A$2:$A$12</c:f>
            </c:strRef>
          </c:cat>
          <c:val>
            <c:numRef>
              <c:f>Sheet1!$M$2:$M$12</c:f>
              <c:numCache/>
            </c:numRef>
          </c:val>
        </c:ser>
        <c:axId val="1393016288"/>
        <c:axId val="306328990"/>
      </c:barChart>
      <c:catAx>
        <c:axId val="13930162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06328990"/>
      </c:catAx>
      <c:valAx>
        <c:axId val="3063289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301628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Sheet1!$B$1</c:f>
            </c:strRef>
          </c:tx>
          <c:spPr>
            <a:solidFill>
              <a:schemeClr val="accent1"/>
            </a:solidFill>
            <a:ln cmpd="sng">
              <a:solidFill>
                <a:srgbClr val="000000"/>
              </a:solidFill>
            </a:ln>
          </c:spPr>
          <c:cat>
            <c:strRef>
              <c:f>Sheet1!$A$2:$A$12</c:f>
            </c:strRef>
          </c:cat>
          <c:val>
            <c:numRef>
              <c:f>Sheet1!$B$2:$B$12</c:f>
              <c:numCache/>
            </c:numRef>
          </c:val>
        </c:ser>
        <c:ser>
          <c:idx val="1"/>
          <c:order val="1"/>
          <c:tx>
            <c:strRef>
              <c:f>Sheet1!$C$1</c:f>
            </c:strRef>
          </c:tx>
          <c:spPr>
            <a:solidFill>
              <a:schemeClr val="accent2"/>
            </a:solidFill>
            <a:ln cmpd="sng">
              <a:solidFill>
                <a:srgbClr val="000000"/>
              </a:solidFill>
            </a:ln>
          </c:spPr>
          <c:cat>
            <c:strRef>
              <c:f>Sheet1!$A$2:$A$12</c:f>
            </c:strRef>
          </c:cat>
          <c:val>
            <c:numRef>
              <c:f>Sheet1!$C$2:$C$12</c:f>
              <c:numCache/>
            </c:numRef>
          </c:val>
        </c:ser>
        <c:ser>
          <c:idx val="2"/>
          <c:order val="2"/>
          <c:tx>
            <c:strRef>
              <c:f>Sheet1!$D$1</c:f>
            </c:strRef>
          </c:tx>
          <c:spPr>
            <a:solidFill>
              <a:schemeClr val="accent3"/>
            </a:solidFill>
            <a:ln cmpd="sng">
              <a:solidFill>
                <a:srgbClr val="000000"/>
              </a:solidFill>
            </a:ln>
          </c:spPr>
          <c:cat>
            <c:strRef>
              <c:f>Sheet1!$A$2:$A$12</c:f>
            </c:strRef>
          </c:cat>
          <c:val>
            <c:numRef>
              <c:f>Sheet1!$D$2:$D$12</c:f>
              <c:numCache/>
            </c:numRef>
          </c:val>
        </c:ser>
        <c:ser>
          <c:idx val="3"/>
          <c:order val="3"/>
          <c:tx>
            <c:strRef>
              <c:f>Sheet1!$E$1</c:f>
            </c:strRef>
          </c:tx>
          <c:spPr>
            <a:solidFill>
              <a:schemeClr val="accent4"/>
            </a:solidFill>
            <a:ln cmpd="sng">
              <a:solidFill>
                <a:srgbClr val="000000"/>
              </a:solidFill>
            </a:ln>
          </c:spPr>
          <c:cat>
            <c:strRef>
              <c:f>Sheet1!$A$2:$A$12</c:f>
            </c:strRef>
          </c:cat>
          <c:val>
            <c:numRef>
              <c:f>Sheet1!$E$2:$E$12</c:f>
              <c:numCache/>
            </c:numRef>
          </c:val>
        </c:ser>
        <c:axId val="1676489886"/>
        <c:axId val="1418348698"/>
      </c:barChart>
      <c:catAx>
        <c:axId val="16764898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18348698"/>
      </c:catAx>
      <c:valAx>
        <c:axId val="14183486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648988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Sheet1!$N$1</c:f>
            </c:strRef>
          </c:tx>
          <c:spPr>
            <a:solidFill>
              <a:schemeClr val="accent1"/>
            </a:solidFill>
            <a:ln cmpd="sng">
              <a:solidFill>
                <a:srgbClr val="000000"/>
              </a:solidFill>
            </a:ln>
          </c:spPr>
          <c:cat>
            <c:strRef>
              <c:f>Sheet1!$A$2:$A$12</c:f>
            </c:strRef>
          </c:cat>
          <c:val>
            <c:numRef>
              <c:f>Sheet1!$N$2:$N$12</c:f>
              <c:numCache/>
            </c:numRef>
          </c:val>
        </c:ser>
        <c:ser>
          <c:idx val="1"/>
          <c:order val="1"/>
          <c:tx>
            <c:strRef>
              <c:f>Sheet1!$O$1</c:f>
            </c:strRef>
          </c:tx>
          <c:spPr>
            <a:solidFill>
              <a:schemeClr val="accent2"/>
            </a:solidFill>
            <a:ln cmpd="sng">
              <a:solidFill>
                <a:srgbClr val="000000"/>
              </a:solidFill>
            </a:ln>
          </c:spPr>
          <c:cat>
            <c:strRef>
              <c:f>Sheet1!$A$2:$A$12</c:f>
            </c:strRef>
          </c:cat>
          <c:val>
            <c:numRef>
              <c:f>Sheet1!$O$2:$O$12</c:f>
              <c:numCache/>
            </c:numRef>
          </c:val>
        </c:ser>
        <c:ser>
          <c:idx val="2"/>
          <c:order val="2"/>
          <c:tx>
            <c:strRef>
              <c:f>Sheet1!$P$1</c:f>
            </c:strRef>
          </c:tx>
          <c:spPr>
            <a:solidFill>
              <a:schemeClr val="accent3"/>
            </a:solidFill>
            <a:ln cmpd="sng">
              <a:solidFill>
                <a:srgbClr val="000000"/>
              </a:solidFill>
            </a:ln>
          </c:spPr>
          <c:cat>
            <c:strRef>
              <c:f>Sheet1!$A$2:$A$12</c:f>
            </c:strRef>
          </c:cat>
          <c:val>
            <c:numRef>
              <c:f>Sheet1!$P$2:$P$12</c:f>
              <c:numCache/>
            </c:numRef>
          </c:val>
        </c:ser>
        <c:axId val="1161478369"/>
        <c:axId val="592207811"/>
      </c:barChart>
      <c:catAx>
        <c:axId val="11614783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92207811"/>
      </c:catAx>
      <c:valAx>
        <c:axId val="5922078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147836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285750</xdr:colOff>
      <xdr:row>26</xdr:row>
      <xdr:rowOff>114300</xdr:rowOff>
    </xdr:from>
    <xdr:ext cx="7991475" cy="5324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390525</xdr:colOff>
      <xdr:row>15</xdr:row>
      <xdr:rowOff>0</xdr:rowOff>
    </xdr:from>
    <xdr:ext cx="7200900" cy="44672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152400</xdr:colOff>
      <xdr:row>28</xdr:row>
      <xdr:rowOff>95250</xdr:rowOff>
    </xdr:from>
    <xdr:ext cx="7553325" cy="4676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78.25"/>
  </cols>
  <sheetData>
    <row r="1">
      <c r="A1" s="1" t="s">
        <v>0</v>
      </c>
      <c r="B1" s="1" t="s">
        <v>1</v>
      </c>
      <c r="C1" s="1" t="s">
        <v>2</v>
      </c>
      <c r="D1" s="1" t="s">
        <v>3</v>
      </c>
      <c r="E1" s="1" t="s">
        <v>4</v>
      </c>
      <c r="F1" s="1" t="s">
        <v>5</v>
      </c>
      <c r="G1" s="1" t="s">
        <v>6</v>
      </c>
      <c r="H1" s="1" t="s">
        <v>7</v>
      </c>
      <c r="I1" s="1" t="s">
        <v>8</v>
      </c>
      <c r="J1" s="1" t="s">
        <v>9</v>
      </c>
      <c r="K1" s="1" t="s">
        <v>10</v>
      </c>
      <c r="L1" s="1" t="s">
        <v>11</v>
      </c>
      <c r="M1" s="1" t="s">
        <v>12</v>
      </c>
      <c r="N1" s="1" t="s">
        <v>6</v>
      </c>
      <c r="O1" s="1" t="s">
        <v>7</v>
      </c>
      <c r="P1" s="1" t="s">
        <v>8</v>
      </c>
    </row>
    <row r="2">
      <c r="A2" s="1" t="s">
        <v>13</v>
      </c>
      <c r="B2" s="1">
        <v>2.28</v>
      </c>
      <c r="C2" s="1">
        <v>2.28</v>
      </c>
      <c r="D2" s="1">
        <v>7.0</v>
      </c>
      <c r="E2" s="1">
        <v>3.0</v>
      </c>
      <c r="F2" s="1" t="s">
        <v>14</v>
      </c>
      <c r="G2" s="1">
        <v>1.0</v>
      </c>
      <c r="H2" s="1">
        <v>1.0</v>
      </c>
      <c r="I2" s="1">
        <v>1.0</v>
      </c>
      <c r="J2" s="1">
        <v>1.0</v>
      </c>
      <c r="K2" s="1">
        <v>1.0</v>
      </c>
      <c r="L2" s="1">
        <v>0.08</v>
      </c>
      <c r="M2" s="1">
        <v>1.0</v>
      </c>
      <c r="N2" s="2">
        <f t="shared" ref="N2:P2" si="1">G2*10</f>
        <v>10</v>
      </c>
      <c r="O2" s="2">
        <f t="shared" si="1"/>
        <v>10</v>
      </c>
      <c r="P2" s="2">
        <f t="shared" si="1"/>
        <v>10</v>
      </c>
    </row>
    <row r="3">
      <c r="A3" s="1" t="s">
        <v>15</v>
      </c>
      <c r="B3" s="1">
        <v>4.8</v>
      </c>
      <c r="C3" s="1">
        <v>4.8</v>
      </c>
      <c r="D3" s="1">
        <v>9.3</v>
      </c>
      <c r="E3" s="1">
        <v>5.1</v>
      </c>
      <c r="F3" s="1" t="s">
        <v>16</v>
      </c>
      <c r="G3" s="1">
        <v>3.5</v>
      </c>
      <c r="H3" s="1">
        <v>0.95</v>
      </c>
      <c r="I3" s="1">
        <v>1.466</v>
      </c>
      <c r="J3" s="1">
        <v>1.0</v>
      </c>
      <c r="K3" s="1">
        <v>1.0</v>
      </c>
      <c r="L3" s="1">
        <v>0.0</v>
      </c>
      <c r="M3" s="1">
        <v>1.0</v>
      </c>
      <c r="N3" s="2">
        <f t="shared" ref="N3:P3" si="2">G3*10</f>
        <v>35</v>
      </c>
      <c r="O3" s="2">
        <f t="shared" si="2"/>
        <v>9.5</v>
      </c>
      <c r="P3" s="2">
        <f t="shared" si="2"/>
        <v>14.66</v>
      </c>
    </row>
    <row r="4">
      <c r="A4" s="1" t="s">
        <v>17</v>
      </c>
      <c r="B4" s="1">
        <v>9.5</v>
      </c>
      <c r="C4" s="1">
        <v>8.9</v>
      </c>
      <c r="D4" s="1">
        <v>10.0</v>
      </c>
      <c r="E4" s="1">
        <v>9.0</v>
      </c>
      <c r="F4" s="1" t="s">
        <v>18</v>
      </c>
      <c r="G4" s="1">
        <v>6.6</v>
      </c>
      <c r="H4" s="1">
        <v>3.2</v>
      </c>
      <c r="I4" s="1">
        <v>4.3</v>
      </c>
      <c r="J4" s="1">
        <v>1.0</v>
      </c>
      <c r="K4" s="1">
        <v>1.0</v>
      </c>
      <c r="L4" s="1">
        <v>0.15</v>
      </c>
      <c r="M4" s="1">
        <v>1.0</v>
      </c>
      <c r="N4" s="2">
        <f t="shared" ref="N4:P4" si="3">G4*10</f>
        <v>66</v>
      </c>
      <c r="O4" s="2">
        <f t="shared" si="3"/>
        <v>32</v>
      </c>
      <c r="P4" s="2">
        <f t="shared" si="3"/>
        <v>43</v>
      </c>
    </row>
    <row r="5">
      <c r="A5" s="1" t="s">
        <v>19</v>
      </c>
      <c r="B5" s="1">
        <v>4.4</v>
      </c>
      <c r="C5" s="1">
        <v>4.7</v>
      </c>
      <c r="D5" s="1">
        <v>9.7</v>
      </c>
      <c r="E5" s="1">
        <v>5.2</v>
      </c>
      <c r="F5" s="1" t="s">
        <v>20</v>
      </c>
      <c r="G5" s="1">
        <v>4.0</v>
      </c>
      <c r="H5" s="1">
        <v>2.3</v>
      </c>
      <c r="I5" s="1">
        <v>2.83</v>
      </c>
      <c r="J5" s="1">
        <v>1.0</v>
      </c>
      <c r="K5" s="1">
        <v>1.0</v>
      </c>
      <c r="L5" s="1">
        <v>0.0</v>
      </c>
      <c r="M5" s="1">
        <v>1.0</v>
      </c>
      <c r="N5" s="2">
        <f t="shared" ref="N5:P5" si="4">G5*10</f>
        <v>40</v>
      </c>
      <c r="O5" s="2">
        <f t="shared" si="4"/>
        <v>23</v>
      </c>
      <c r="P5" s="2">
        <f t="shared" si="4"/>
        <v>28.3</v>
      </c>
    </row>
    <row r="6">
      <c r="A6" s="1" t="s">
        <v>21</v>
      </c>
      <c r="B6" s="1">
        <v>7.4</v>
      </c>
      <c r="C6" s="1">
        <v>9.2</v>
      </c>
      <c r="D6" s="1">
        <v>9.6</v>
      </c>
      <c r="E6" s="1">
        <v>8.0</v>
      </c>
      <c r="F6" s="1" t="s">
        <v>22</v>
      </c>
      <c r="G6" s="1">
        <v>3.5</v>
      </c>
      <c r="H6" s="1">
        <v>1.28</v>
      </c>
      <c r="I6" s="1">
        <v>1.8</v>
      </c>
      <c r="J6" s="1">
        <v>1.0</v>
      </c>
      <c r="K6" s="1">
        <v>1.0</v>
      </c>
      <c r="L6" s="1">
        <v>1.0</v>
      </c>
      <c r="M6" s="1">
        <v>1.0</v>
      </c>
      <c r="N6" s="2">
        <f t="shared" ref="N6:P6" si="5">G6*10</f>
        <v>35</v>
      </c>
      <c r="O6" s="2">
        <f t="shared" si="5"/>
        <v>12.8</v>
      </c>
      <c r="P6" s="2">
        <f t="shared" si="5"/>
        <v>18</v>
      </c>
    </row>
    <row r="7">
      <c r="A7" s="1" t="s">
        <v>23</v>
      </c>
      <c r="B7" s="1">
        <v>3.9</v>
      </c>
      <c r="C7" s="1">
        <v>5.5</v>
      </c>
      <c r="D7" s="1">
        <v>7.7</v>
      </c>
      <c r="E7" s="1">
        <v>4.7</v>
      </c>
      <c r="F7" s="1" t="s">
        <v>24</v>
      </c>
      <c r="G7" s="1">
        <v>4.0</v>
      </c>
      <c r="H7" s="1">
        <v>1.08</v>
      </c>
      <c r="I7" s="1">
        <v>1.7</v>
      </c>
      <c r="J7" s="1">
        <v>1.0</v>
      </c>
      <c r="K7" s="1">
        <v>1.0</v>
      </c>
      <c r="L7" s="1">
        <v>0.0</v>
      </c>
      <c r="M7" s="1">
        <v>1.0</v>
      </c>
      <c r="N7" s="2">
        <f t="shared" ref="N7:P7" si="6">G7*10</f>
        <v>40</v>
      </c>
      <c r="O7" s="2">
        <f t="shared" si="6"/>
        <v>10.8</v>
      </c>
      <c r="P7" s="2">
        <f t="shared" si="6"/>
        <v>17</v>
      </c>
    </row>
    <row r="8">
      <c r="A8" s="1" t="s">
        <v>25</v>
      </c>
      <c r="B8" s="1">
        <v>3.0</v>
      </c>
      <c r="C8" s="1">
        <v>2.5</v>
      </c>
      <c r="D8" s="1">
        <v>7.1</v>
      </c>
      <c r="E8" s="1">
        <v>2.8</v>
      </c>
      <c r="F8" s="1" t="s">
        <v>26</v>
      </c>
      <c r="G8" s="1">
        <v>1.7</v>
      </c>
      <c r="H8" s="1">
        <v>1.7</v>
      </c>
      <c r="I8" s="1">
        <v>1.7</v>
      </c>
      <c r="J8" s="1">
        <v>0.91</v>
      </c>
      <c r="K8" s="1">
        <v>0.91</v>
      </c>
      <c r="L8" s="1">
        <v>0.0</v>
      </c>
      <c r="M8" s="1">
        <v>0.91</v>
      </c>
      <c r="N8" s="2">
        <f t="shared" ref="N8:P8" si="7">G8*10</f>
        <v>17</v>
      </c>
      <c r="O8" s="2">
        <f t="shared" si="7"/>
        <v>17</v>
      </c>
      <c r="P8" s="2">
        <f t="shared" si="7"/>
        <v>17</v>
      </c>
    </row>
    <row r="9">
      <c r="A9" s="1" t="s">
        <v>27</v>
      </c>
      <c r="B9" s="1">
        <v>6.9</v>
      </c>
      <c r="C9" s="1">
        <v>8.4</v>
      </c>
      <c r="D9" s="1">
        <v>10.0</v>
      </c>
      <c r="E9" s="1">
        <v>7.5</v>
      </c>
      <c r="F9" s="1" t="s">
        <v>28</v>
      </c>
      <c r="G9" s="1">
        <v>7.5</v>
      </c>
      <c r="H9" s="1">
        <v>3.3</v>
      </c>
      <c r="I9" s="1">
        <v>4.3</v>
      </c>
      <c r="J9" s="1">
        <v>1.0</v>
      </c>
      <c r="K9" s="1">
        <v>1.0</v>
      </c>
      <c r="L9" s="1">
        <v>0.97</v>
      </c>
      <c r="M9" s="1">
        <v>1.0</v>
      </c>
      <c r="N9" s="2">
        <f t="shared" ref="N9:P9" si="8">G9*10</f>
        <v>75</v>
      </c>
      <c r="O9" s="2">
        <f t="shared" si="8"/>
        <v>33</v>
      </c>
      <c r="P9" s="2">
        <f t="shared" si="8"/>
        <v>43</v>
      </c>
    </row>
    <row r="10">
      <c r="A10" s="1" t="s">
        <v>29</v>
      </c>
      <c r="B10" s="1">
        <v>6.9</v>
      </c>
      <c r="C10" s="1">
        <v>6.3</v>
      </c>
      <c r="D10" s="1">
        <v>9.9</v>
      </c>
      <c r="E10" s="1">
        <v>6.6</v>
      </c>
      <c r="F10" s="1" t="s">
        <v>30</v>
      </c>
      <c r="G10" s="1">
        <v>3.0</v>
      </c>
      <c r="H10" s="1">
        <v>2.7</v>
      </c>
      <c r="I10" s="1">
        <v>2.9</v>
      </c>
      <c r="J10" s="1">
        <v>1.0</v>
      </c>
      <c r="K10" s="1">
        <v>1.0</v>
      </c>
      <c r="L10" s="1">
        <v>0.0</v>
      </c>
      <c r="M10" s="1">
        <v>1.0</v>
      </c>
      <c r="N10" s="2">
        <f t="shared" ref="N10:P10" si="9">G10*10</f>
        <v>30</v>
      </c>
      <c r="O10" s="2">
        <f t="shared" si="9"/>
        <v>27</v>
      </c>
      <c r="P10" s="2">
        <f t="shared" si="9"/>
        <v>29</v>
      </c>
    </row>
    <row r="11">
      <c r="A11" s="1" t="s">
        <v>31</v>
      </c>
      <c r="B11" s="1">
        <v>7.0</v>
      </c>
      <c r="C11" s="1">
        <v>9.3</v>
      </c>
      <c r="D11" s="1">
        <v>9.8</v>
      </c>
      <c r="E11" s="1">
        <v>8.0</v>
      </c>
      <c r="F11" s="1" t="s">
        <v>32</v>
      </c>
      <c r="G11" s="1">
        <v>8.3</v>
      </c>
      <c r="H11" s="1">
        <v>3.1</v>
      </c>
      <c r="I11" s="1">
        <v>4.5</v>
      </c>
      <c r="J11" s="1">
        <v>1.0</v>
      </c>
      <c r="K11" s="1">
        <v>0.97</v>
      </c>
      <c r="L11" s="1">
        <v>0.63</v>
      </c>
      <c r="M11" s="1">
        <v>1.0</v>
      </c>
      <c r="N11" s="2">
        <f t="shared" ref="N11:P11" si="10">G11*10</f>
        <v>83</v>
      </c>
      <c r="O11" s="2">
        <f t="shared" si="10"/>
        <v>31</v>
      </c>
      <c r="P11" s="2">
        <f t="shared" si="10"/>
        <v>45</v>
      </c>
    </row>
    <row r="12">
      <c r="A12" s="1" t="s">
        <v>33</v>
      </c>
      <c r="B12" s="1">
        <v>4.8</v>
      </c>
      <c r="C12" s="1">
        <v>6.5</v>
      </c>
      <c r="D12" s="1">
        <v>9.2</v>
      </c>
      <c r="E12" s="1">
        <v>5.8</v>
      </c>
      <c r="F12" s="1" t="s">
        <v>34</v>
      </c>
      <c r="G12" s="1">
        <v>2.5</v>
      </c>
      <c r="H12" s="1">
        <v>1.08</v>
      </c>
      <c r="I12" s="1">
        <v>1.4</v>
      </c>
      <c r="J12" s="1">
        <v>1.0</v>
      </c>
      <c r="K12" s="1">
        <v>1.0</v>
      </c>
      <c r="L12" s="1">
        <v>0.0</v>
      </c>
      <c r="M12" s="1">
        <v>1.0</v>
      </c>
      <c r="N12" s="2">
        <f t="shared" ref="N12:P12" si="11">G12*10</f>
        <v>25</v>
      </c>
      <c r="O12" s="2">
        <f t="shared" si="11"/>
        <v>10.8</v>
      </c>
      <c r="P12" s="2">
        <f t="shared" si="11"/>
        <v>14</v>
      </c>
    </row>
  </sheetData>
  <drawing r:id="rId1"/>
</worksheet>
</file>